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University/analys/lab2/"/>
    </mc:Choice>
  </mc:AlternateContent>
  <xr:revisionPtr revIDLastSave="0" documentId="13_ncr:1_{C327CE0A-2DD7-F64F-A1A1-A3D0B90EAF6B}" xr6:coauthVersionLast="47" xr6:coauthVersionMax="47" xr10:uidLastSave="{00000000-0000-0000-0000-000000000000}"/>
  <bookViews>
    <workbookView xWindow="1940" yWindow="5380" windowWidth="28040" windowHeight="17040" activeTab="1" xr2:uid="{3F9D2E0F-EC3D-4748-BC63-0B57D2BA30A6}"/>
  </bookViews>
  <sheets>
    <sheet name="Sensitivity Report 1" sheetId="2" r:id="rId1"/>
    <sheet name="Sheet1" sheetId="1" r:id="rId2"/>
  </sheets>
  <definedNames>
    <definedName name="solver_adj" localSheetId="1" hidden="1">Sheet1!$A$2:$D$2</definedName>
    <definedName name="solver_cvg" localSheetId="1" hidden="1">0.0001</definedName>
    <definedName name="solver_drv" localSheetId="1" hidden="1">2</definedName>
    <definedName name="solver_eng" localSheetId="1" hidden="1">2</definedName>
    <definedName name="solver_itr" localSheetId="1" hidden="1">2147483647</definedName>
    <definedName name="solver_lhs1" localSheetId="1" hidden="1">Sheet1!$A$2:$D$2</definedName>
    <definedName name="solver_lhs2" localSheetId="1" hidden="1">Sheet1!$E$7:$E$11</definedName>
    <definedName name="solver_lin" localSheetId="1" hidden="1">1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</definedName>
    <definedName name="solver_opt" localSheetId="1" hidden="1">Sheet1!$E$4</definedName>
    <definedName name="solver_pre" localSheetId="1" hidden="1">0.000001</definedName>
    <definedName name="solver_rbv" localSheetId="1" hidden="1">2</definedName>
    <definedName name="solver_rel1" localSheetId="1" hidden="1">3</definedName>
    <definedName name="solver_rel2" localSheetId="1" hidden="1">1</definedName>
    <definedName name="solver_rhs1" localSheetId="1" hidden="1">0</definedName>
    <definedName name="solver_rhs2" localSheetId="1" hidden="1">Sheet1!$F$7:$F$11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9" i="1"/>
  <c r="E10" i="1"/>
  <c r="E11" i="1"/>
  <c r="E7" i="1"/>
  <c r="E4" i="1"/>
</calcChain>
</file>

<file path=xl/sharedStrings.xml><?xml version="1.0" encoding="utf-8"?>
<sst xmlns="http://schemas.openxmlformats.org/spreadsheetml/2006/main" count="46" uniqueCount="33">
  <si>
    <t>x1</t>
  </si>
  <si>
    <t>x2</t>
  </si>
  <si>
    <t>x3</t>
  </si>
  <si>
    <t>x4</t>
  </si>
  <si>
    <t>Microsoft Excel 16.93 Sensitivity Report</t>
  </si>
  <si>
    <t>Worksheet: [lab2_SmachyloIvanna.xlsx]Sheet1</t>
  </si>
  <si>
    <t>Report Created: 19.09.2026 00:57:05</t>
  </si>
  <si>
    <t>Variable Cells</t>
  </si>
  <si>
    <t>Cell</t>
  </si>
  <si>
    <t>Name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</si>
  <si>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</si>
  <si>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</si>
  <si>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</si>
  <si>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</si>
  <si>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</si>
  <si>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</si>
  <si>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</si>
  <si>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</si>
  <si>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</si>
  <si>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Constraints</t>
  </si>
  <si>
    <t>Shadow</t>
  </si>
  <si>
    <t>Price</t>
  </si>
  <si>
    <t>Constraint</t>
  </si>
  <si>
    <t>R.H. Side</t>
  </si>
  <si>
    <t>$A$2</t>
  </si>
  <si>
    <t>$B$2</t>
  </si>
  <si>
    <t>$C$2</t>
  </si>
  <si>
    <t>$D$2</t>
  </si>
  <si>
    <t>$E$7</t>
  </si>
  <si>
    <t>$E$8</t>
  </si>
  <si>
    <t>$E$9</t>
  </si>
  <si>
    <t>$E$10</t>
  </si>
  <si>
    <t>$E$11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</si>
</sst>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indexed="1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1" fillId="0" borderId="0" xfId="0" applyFont="1"/>
    <xf numFmtId="0" fontId="0" fillId="0" borderId="5" xfId="0" applyFill="1" applyBorder="1" applyAlignment="1"/>
    <xf numFmtId="0" fontId="0" fillId="0" borderId="6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7807-36DD-E449-AFDB-53A9E6880C09}">
  <dimension ref="A1:H21"/>
  <sheetViews>
    <sheetView showGridLines="0" workbookViewId="0">
      <selection sqref="A1:A3"/>
    </sheetView>
  </sheetViews>
  <sheetFormatPr baseColWidth="10" defaultRowHeight="16" x14ac:dyDescent="0.2"/>
  <cols>
    <col min="1" max="1" width="2.33203125" customWidth="1"/>
    <col min="2" max="3" width="6.1640625" bestFit="1" customWidth="1"/>
    <col min="4" max="5" width="12.1640625" bestFit="1" customWidth="1"/>
    <col min="6" max="6" width="10.5" bestFit="1" customWidth="1"/>
    <col min="7" max="8" width="12.1640625" bestFit="1" customWidth="1"/>
  </cols>
  <sheetData>
    <row r="1" spans="1:8" x14ac:dyDescent="0.2">
      <c r="A1" s="5" t="s">
        <v>4</v>
      </c>
    </row>
    <row r="2" spans="1:8" x14ac:dyDescent="0.2">
      <c r="A2" s="5" t="s">
        <v>5</v>
      </c>
    </row>
    <row r="3" spans="1:8" x14ac:dyDescent="0.2">
      <c r="A3" s="5" t="s">
        <v>6</v>
      </c>
    </row>
    <row r="6" spans="1:8" ht="17" thickBot="1" x14ac:dyDescent="0.25">
      <c r="A6" t="s">
        <v>7</v>
      </c>
    </row>
    <row r="7" spans="1:8" x14ac:dyDescent="0.2">
      <c r="B7" s="8"/>
      <c r="C7" s="8"/>
      <c r="D7" s="8" t="s">
        <v>10</v>
      </c>
      <c r="E7" s="8" t="s">
        <v>12</v>
      </c>
      <c r="F7" s="8" t="s">
        <v>14</v>
      </c>
      <c r="G7" s="8" t="s">
        <v>16</v>
      </c>
      <c r="H7" s="8" t="s">
        <v>16</v>
      </c>
    </row>
    <row r="8" spans="1:8" ht="17" thickBot="1" x14ac:dyDescent="0.25">
      <c r="B8" s="9" t="s">
        <v>8</v>
      </c>
      <c r="C8" s="9" t="s">
        <v>9</v>
      </c>
      <c r="D8" s="9" t="s">
        <v>11</v>
      </c>
      <c r="E8" s="9" t="s">
        <v>13</v>
      </c>
      <c r="F8" s="9" t="s">
        <v>15</v>
      </c>
      <c r="G8" s="9" t="s">
        <v>17</v>
      </c>
      <c r="H8" s="9" t="s">
        <v>18</v>
      </c>
    </row>
    <row r="9" spans="1:8" x14ac:dyDescent="0.2">
      <c r="B9" s="6" t="s">
        <v>24</v>
      </c>
      <c r="C9" s="6" t="s">
        <v>0</v>
      </c>
      <c r="D9" s="6">
        <v>0</v>
      </c>
      <c r="E9" s="6">
        <v>-17</v>
      </c>
      <c r="F9" s="6">
        <v>30</v>
      </c>
      <c r="G9" s="6">
        <v>17</v>
      </c>
      <c r="H9" s="6">
        <v>1E+30</v>
      </c>
    </row>
    <row r="10" spans="1:8" x14ac:dyDescent="0.2">
      <c r="B10" s="6" t="s">
        <v>25</v>
      </c>
      <c r="C10" s="6" t="s">
        <v>1</v>
      </c>
      <c r="D10" s="6">
        <v>0</v>
      </c>
      <c r="E10" s="6">
        <v>-5.5</v>
      </c>
      <c r="F10" s="6">
        <v>16</v>
      </c>
      <c r="G10" s="6">
        <v>5.5</v>
      </c>
      <c r="H10" s="6">
        <v>1E+30</v>
      </c>
    </row>
    <row r="11" spans="1:8" x14ac:dyDescent="0.2">
      <c r="B11" s="6" t="s">
        <v>26</v>
      </c>
      <c r="C11" s="6" t="s">
        <v>2</v>
      </c>
      <c r="D11" s="6">
        <v>209.5</v>
      </c>
      <c r="E11" s="6">
        <v>0</v>
      </c>
      <c r="F11" s="6">
        <v>51</v>
      </c>
      <c r="G11" s="6">
        <v>1E+30</v>
      </c>
      <c r="H11" s="6">
        <v>22</v>
      </c>
    </row>
    <row r="12" spans="1:8" ht="17" thickBot="1" x14ac:dyDescent="0.25">
      <c r="B12" s="7" t="s">
        <v>27</v>
      </c>
      <c r="C12" s="7" t="s">
        <v>3</v>
      </c>
      <c r="D12" s="7">
        <v>103.16666666666666</v>
      </c>
      <c r="E12" s="7">
        <v>0</v>
      </c>
      <c r="F12" s="7">
        <v>35</v>
      </c>
      <c r="G12" s="7">
        <v>118.00000000000001</v>
      </c>
      <c r="H12" s="7">
        <v>22</v>
      </c>
    </row>
    <row r="14" spans="1:8" ht="17" thickBot="1" x14ac:dyDescent="0.25">
      <c r="A14" t="s">
        <v>19</v>
      </c>
    </row>
    <row r="15" spans="1:8" x14ac:dyDescent="0.2">
      <c r="B15" s="8"/>
      <c r="C15" s="8"/>
      <c r="D15" s="8" t="s">
        <v>10</v>
      </c>
      <c r="E15" s="8" t="s">
        <v>20</v>
      </c>
      <c r="F15" s="8" t="s">
        <v>22</v>
      </c>
      <c r="G15" s="8" t="s">
        <v>16</v>
      </c>
      <c r="H15" s="8" t="s">
        <v>16</v>
      </c>
    </row>
    <row r="16" spans="1:8" ht="17" thickBot="1" x14ac:dyDescent="0.25">
      <c r="B16" s="9" t="s">
        <v>8</v>
      </c>
      <c r="C16" s="9" t="s">
        <v>9</v>
      </c>
      <c r="D16" s="9" t="s">
        <v>11</v>
      </c>
      <c r="E16" s="9" t="s">
        <v>21</v>
      </c>
      <c r="F16" s="9" t="s">
        <v>23</v>
      </c>
      <c r="G16" s="9" t="s">
        <v>17</v>
      </c>
      <c r="H16" s="9" t="s">
        <v>18</v>
      </c>
    </row>
    <row r="17" spans="2:8" x14ac:dyDescent="0.2">
      <c r="B17" s="6" t="s">
        <v>28</v>
      </c>
      <c r="C17" s="6"/>
      <c r="D17" s="6">
        <v>309.5</v>
      </c>
      <c r="E17" s="6">
        <v>0</v>
      </c>
      <c r="F17" s="6">
        <v>1312</v>
      </c>
      <c r="G17" s="6">
        <v>1E+30</v>
      </c>
      <c r="H17" s="6">
        <v>1002.5</v>
      </c>
    </row>
    <row r="18" spans="2:8" x14ac:dyDescent="0.2">
      <c r="B18" s="6" t="s">
        <v>29</v>
      </c>
      <c r="C18" s="6"/>
      <c r="D18" s="6">
        <v>838</v>
      </c>
      <c r="E18" s="6">
        <v>9.8333333333333339</v>
      </c>
      <c r="F18" s="6">
        <v>838</v>
      </c>
      <c r="G18" s="6">
        <v>389.42857142857144</v>
      </c>
      <c r="H18" s="6">
        <v>838</v>
      </c>
    </row>
    <row r="19" spans="2:8" x14ac:dyDescent="0.2">
      <c r="B19" s="6" t="s">
        <v>30</v>
      </c>
      <c r="C19" s="6"/>
      <c r="D19" s="6">
        <v>834.83333333333326</v>
      </c>
      <c r="E19" s="6">
        <v>0</v>
      </c>
      <c r="F19" s="6">
        <v>1062</v>
      </c>
      <c r="G19" s="6">
        <v>1E+30</v>
      </c>
      <c r="H19" s="6">
        <v>227.16666666666669</v>
      </c>
    </row>
    <row r="20" spans="2:8" x14ac:dyDescent="0.2">
      <c r="B20" s="6" t="s">
        <v>31</v>
      </c>
      <c r="C20" s="6"/>
      <c r="D20" s="6">
        <v>1038</v>
      </c>
      <c r="E20" s="6">
        <v>5.833333333333333</v>
      </c>
      <c r="F20" s="6">
        <v>1038</v>
      </c>
      <c r="G20" s="6">
        <v>681.50000000000011</v>
      </c>
      <c r="H20" s="6">
        <v>619</v>
      </c>
    </row>
    <row r="21" spans="2:8" ht="17" thickBot="1" x14ac:dyDescent="0.25">
      <c r="B21" s="7" t="s">
        <v>32</v>
      </c>
      <c r="C21" s="7"/>
      <c r="D21" s="7">
        <v>309.5</v>
      </c>
      <c r="E21" s="7">
        <v>0</v>
      </c>
      <c r="F21" s="7">
        <v>1236</v>
      </c>
      <c r="G21" s="7">
        <v>1E+30</v>
      </c>
      <c r="H21" s="7">
        <v>926.5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6C5E3-33FD-7442-AD42-6C5970F3DFC2}">
  <dimension ref="A1:F11"/>
  <sheetViews>
    <sheetView tabSelected="1" workbookViewId="0">
      <selection activeCell="I15" sqref="I15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3"/>
      <c r="F1" s="3"/>
    </row>
    <row r="2" spans="1:6" x14ac:dyDescent="0.2">
      <c r="A2" s="2">
        <v>0</v>
      </c>
      <c r="B2" s="2">
        <v>0</v>
      </c>
      <c r="C2" s="2">
        <v>209.5</v>
      </c>
      <c r="D2" s="2">
        <v>103.16666666666666</v>
      </c>
      <c r="E2" s="3"/>
      <c r="F2" s="3"/>
    </row>
    <row r="3" spans="1:6" x14ac:dyDescent="0.2">
      <c r="A3" s="3"/>
      <c r="B3" s="3"/>
      <c r="C3" s="3"/>
      <c r="D3" s="4"/>
      <c r="E3" s="3"/>
      <c r="F3" s="3"/>
    </row>
    <row r="4" spans="1:6" x14ac:dyDescent="0.2">
      <c r="A4" s="2">
        <v>30</v>
      </c>
      <c r="B4" s="2">
        <v>16</v>
      </c>
      <c r="C4" s="2">
        <v>51</v>
      </c>
      <c r="D4" s="2">
        <v>35</v>
      </c>
      <c r="E4" s="2">
        <f>SUMPRODUCT(A2:D2,  A4:D4)</f>
        <v>14295.333333333332</v>
      </c>
      <c r="F4" s="3"/>
    </row>
    <row r="5" spans="1:6" x14ac:dyDescent="0.2">
      <c r="A5" s="3"/>
      <c r="B5" s="3"/>
      <c r="C5" s="3"/>
      <c r="D5" s="3"/>
      <c r="E5" s="3"/>
      <c r="F5" s="3"/>
    </row>
    <row r="6" spans="1:6" x14ac:dyDescent="0.2">
      <c r="A6" s="3"/>
      <c r="B6" s="3"/>
      <c r="C6" s="3"/>
      <c r="D6" s="3"/>
      <c r="E6" s="3"/>
      <c r="F6" s="3"/>
    </row>
    <row r="7" spans="1:6" x14ac:dyDescent="0.2">
      <c r="A7" s="2">
        <v>2</v>
      </c>
      <c r="B7" s="2">
        <v>1</v>
      </c>
      <c r="C7" s="2">
        <v>0</v>
      </c>
      <c r="D7" s="2">
        <v>3</v>
      </c>
      <c r="E7" s="2">
        <f>SUMPRODUCT($A$2:$D$2, A7:D7)</f>
        <v>309.5</v>
      </c>
      <c r="F7" s="2">
        <v>1312</v>
      </c>
    </row>
    <row r="8" spans="1:6" x14ac:dyDescent="0.2">
      <c r="A8" s="2">
        <v>3</v>
      </c>
      <c r="B8" s="2">
        <v>1</v>
      </c>
      <c r="C8" s="2">
        <v>4</v>
      </c>
      <c r="D8" s="2">
        <v>0</v>
      </c>
      <c r="E8" s="2">
        <f t="shared" ref="E8:E11" si="0">SUMPRODUCT($A$2:$D$2, A8:D8)</f>
        <v>838</v>
      </c>
      <c r="F8" s="2">
        <v>838</v>
      </c>
    </row>
    <row r="9" spans="1:6" x14ac:dyDescent="0.2">
      <c r="A9" s="2">
        <v>1</v>
      </c>
      <c r="B9" s="2">
        <v>0</v>
      </c>
      <c r="C9" s="2">
        <v>3</v>
      </c>
      <c r="D9" s="2">
        <v>2</v>
      </c>
      <c r="E9" s="2">
        <f t="shared" si="0"/>
        <v>834.83333333333326</v>
      </c>
      <c r="F9" s="2">
        <v>1062</v>
      </c>
    </row>
    <row r="10" spans="1:6" x14ac:dyDescent="0.2">
      <c r="A10" s="2">
        <v>3</v>
      </c>
      <c r="B10" s="2">
        <v>2</v>
      </c>
      <c r="C10" s="2">
        <v>2</v>
      </c>
      <c r="D10" s="2">
        <v>6</v>
      </c>
      <c r="E10" s="2">
        <f t="shared" si="0"/>
        <v>1038</v>
      </c>
      <c r="F10" s="2">
        <v>1038</v>
      </c>
    </row>
    <row r="11" spans="1:6" x14ac:dyDescent="0.2">
      <c r="A11" s="2">
        <v>3</v>
      </c>
      <c r="B11" s="2">
        <v>6</v>
      </c>
      <c r="C11" s="2">
        <v>0</v>
      </c>
      <c r="D11" s="2">
        <v>3</v>
      </c>
      <c r="E11" s="2">
        <f t="shared" si="0"/>
        <v>309.5</v>
      </c>
      <c r="F11" s="2">
        <v>1236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Sensitivity Report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2026-09-18T21:39:50Z</dcterms:created>
  <dcterms:modified xsi:type="dcterms:W3CDTF">2026-09-18T21:58:33Z</dcterms:modified>
</cp:coreProperties>
</file>